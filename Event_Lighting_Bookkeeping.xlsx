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8" autoFilterDateGrouping="1"/>
  </bookViews>
  <sheets>
    <sheet name="Settings" sheetId="1" state="hidden" r:id="rId1"/>
    <sheet name="Invoices" sheetId="2" state="visible" r:id="rId2"/>
    <sheet name="Revenue" sheetId="3" state="visible" r:id="rId3"/>
    <sheet name="Expenses" sheetId="4" state="visible" r:id="rId4"/>
    <sheet name="Inventory" sheetId="5" state="visible" r:id="rId5"/>
    <sheet name="Trade Debtors" sheetId="6" state="visible" r:id="rId6"/>
    <sheet name="Cash Position" sheetId="7" state="visible" r:id="rId7"/>
    <sheet name="Tax Summary" sheetId="8" state="visible" r:id="rId8"/>
    <sheet name="Dashboar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1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  <sz val="11"/>
    </font>
    <font>
      <b val="1"/>
    </font>
    <font>
      <b val="1"/>
      <sz val="11"/>
    </font>
    <font>
      <i val="1"/>
      <color rgb="00666666"/>
    </font>
    <font>
      <b val="1"/>
      <sz val="13"/>
    </font>
    <font>
      <sz val="11"/>
    </font>
    <font>
      <b val="1"/>
      <color rgb="00FFFFFF"/>
      <sz val="12"/>
    </font>
    <font>
      <b val="1"/>
      <color rgb="00FFFFFF"/>
      <sz val="16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7E6E6"/>
        <bgColor rgb="00E7E6E6"/>
      </patternFill>
    </fill>
    <fill>
      <patternFill patternType="solid">
        <fgColor rgb="00D9E1F2"/>
        <bgColor rgb="00D9E1F2"/>
      </patternFill>
    </fill>
    <fill>
      <patternFill patternType="solid">
        <fgColor rgb="00B4C7E7"/>
        <bgColor rgb="00B4C7E7"/>
      </patternFill>
    </fill>
    <fill>
      <patternFill patternType="solid">
        <fgColor rgb="00FFF2CC"/>
        <bgColor rgb="00FFF2CC"/>
      </patternFill>
    </fill>
    <fill>
      <patternFill patternType="solid">
        <fgColor rgb="0092D050"/>
        <bgColor rgb="0092D050"/>
      </patternFill>
    </fill>
    <fill>
      <patternFill patternType="solid">
        <fgColor rgb="00203864"/>
        <bgColor rgb="00203864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  <xf numFmtId="0" fontId="2" fillId="0" borderId="0" pivotButton="0" quotePrefix="0" xfId="0"/>
    <xf numFmtId="4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165" fontId="0" fillId="0" borderId="0" pivotButton="0" quotePrefix="0" xfId="0"/>
    <xf numFmtId="1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4" fontId="4" fillId="3" borderId="0" pivotButton="0" quotePrefix="0" xfId="0"/>
    <xf numFmtId="0" fontId="6" fillId="0" borderId="0" pivotButton="0" quotePrefix="0" xfId="0"/>
    <xf numFmtId="4" fontId="4" fillId="0" borderId="0" pivotButton="0" quotePrefix="0" xfId="0"/>
    <xf numFmtId="4" fontId="4" fillId="4" borderId="0" pivotButton="0" quotePrefix="0" xfId="0"/>
    <xf numFmtId="0" fontId="7" fillId="0" borderId="0" pivotButton="0" quotePrefix="0" xfId="0"/>
    <xf numFmtId="4" fontId="7" fillId="5" borderId="0" pivotButton="0" quotePrefix="0" xfId="0"/>
    <xf numFmtId="0" fontId="8" fillId="0" borderId="0" pivotButton="0" quotePrefix="0" xfId="0"/>
    <xf numFmtId="0" fontId="9" fillId="2" borderId="0" pivotButton="0" quotePrefix="0" xfId="0"/>
    <xf numFmtId="4" fontId="4" fillId="6" borderId="0" pivotButton="0" quotePrefix="0" xfId="0"/>
    <xf numFmtId="4" fontId="7" fillId="7" borderId="0" pivotButton="0" quotePrefix="0" xfId="0"/>
    <xf numFmtId="10" fontId="4" fillId="0" borderId="0" pivotButton="0" quotePrefix="0" xfId="0"/>
    <xf numFmtId="0" fontId="10" fillId="8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4" fontId="2" fillId="3" borderId="0" pivotButton="0" quotePrefix="0" xfId="0"/>
    <xf numFmtId="4" fontId="0" fillId="3" borderId="0" pivotButton="0" quotePrefix="0" xfId="0"/>
    <xf numFmtId="4" fontId="2" fillId="4" borderId="0" pivotButton="0" quotePrefix="0" xfId="0"/>
    <xf numFmtId="10" fontId="2" fillId="3" borderId="0" pivotButton="0" quotePrefix="0" xfId="0"/>
    <xf numFmtId="4" fontId="0" fillId="6" borderId="0" pivotButton="0" quotePrefix="0" xfId="0"/>
    <xf numFmtId="4" fontId="0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Revenue vs Expense Trend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'Dashboard'!B17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'Dashboard'!$A$18:$A$29</f>
            </numRef>
          </cat>
          <val>
            <numRef>
              <f>'Dashboard'!$B$18:$B$29</f>
            </numRef>
          </val>
        </ser>
        <ser>
          <idx val="1"/>
          <order val="1"/>
          <tx>
            <strRef>
              <f>'Dashboard'!C17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'Dashboard'!$A$18:$A$29</f>
            </numRef>
          </cat>
          <val>
            <numRef>
              <f>'Dashboard'!$C$18:$C$29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17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20" customWidth="1" min="4" max="4"/>
  </cols>
  <sheetData>
    <row r="1">
      <c r="A1" s="1" t="inlineStr">
        <is>
          <t>Company Settings</t>
        </is>
      </c>
    </row>
    <row r="3">
      <c r="A3" t="inlineStr">
        <is>
          <t>Company Name</t>
        </is>
      </c>
      <c r="B3" t="inlineStr">
        <is>
          <t>Flash Lighting Services Ltd</t>
        </is>
      </c>
    </row>
    <row r="4">
      <c r="A4" t="inlineStr">
        <is>
          <t>VAT Rate (%)</t>
        </is>
      </c>
      <c r="B4" s="2" t="n">
        <v>15</v>
      </c>
    </row>
    <row r="5">
      <c r="A5" t="inlineStr">
        <is>
          <t>Financial Year Start</t>
        </is>
      </c>
      <c r="B5" t="inlineStr">
        <is>
          <t>2025-01-01</t>
        </is>
      </c>
    </row>
    <row r="7">
      <c r="A7" s="3" t="inlineStr">
        <is>
          <t>Opening Balances</t>
        </is>
      </c>
    </row>
    <row r="8">
      <c r="A8" t="inlineStr">
        <is>
          <t>Cash in Hand (Opening)</t>
        </is>
      </c>
      <c r="B8" s="4" t="n">
        <v>5000</v>
      </c>
    </row>
    <row r="9">
      <c r="A9" t="inlineStr">
        <is>
          <t>Cash at Bank (Opening)</t>
        </is>
      </c>
      <c r="B9" s="4" t="n">
        <v>50000</v>
      </c>
    </row>
    <row r="11">
      <c r="A11" s="3" t="inlineStr">
        <is>
          <t>Expense Categories</t>
        </is>
      </c>
      <c r="D11" s="3" t="inlineStr">
        <is>
          <t>Payment Methods</t>
        </is>
      </c>
    </row>
    <row r="12">
      <c r="A12" t="inlineStr">
        <is>
          <t>Equipment Purchase</t>
        </is>
      </c>
      <c r="D12" t="inlineStr">
        <is>
          <t>Cash</t>
        </is>
      </c>
    </row>
    <row r="13">
      <c r="A13" t="inlineStr">
        <is>
          <t>Equipment Maintenance</t>
        </is>
      </c>
      <c r="D13" t="inlineStr">
        <is>
          <t>Bank Transfer</t>
        </is>
      </c>
    </row>
    <row r="14">
      <c r="A14" t="inlineStr">
        <is>
          <t>Transport/Fuel</t>
        </is>
      </c>
      <c r="D14" t="inlineStr">
        <is>
          <t>Cheque</t>
        </is>
      </c>
    </row>
    <row r="15">
      <c r="A15" t="inlineStr">
        <is>
          <t>Salaries/Wages</t>
        </is>
      </c>
      <c r="D15" t="inlineStr">
        <is>
          <t>Mobile Money</t>
        </is>
      </c>
    </row>
    <row r="16">
      <c r="A16" t="inlineStr">
        <is>
          <t>Rent</t>
        </is>
      </c>
      <c r="D16" t="inlineStr">
        <is>
          <t>Card</t>
        </is>
      </c>
    </row>
    <row r="17">
      <c r="A17" t="inlineStr">
        <is>
          <t>Utilities</t>
        </is>
      </c>
    </row>
    <row r="18">
      <c r="A18" t="inlineStr">
        <is>
          <t>Insurance</t>
        </is>
      </c>
    </row>
    <row r="19">
      <c r="A19" t="inlineStr">
        <is>
          <t>Marketing</t>
        </is>
      </c>
    </row>
    <row r="20">
      <c r="A20" t="inlineStr">
        <is>
          <t>Office Supplies</t>
        </is>
      </c>
    </row>
    <row r="21">
      <c r="A21" t="inlineStr">
        <is>
          <t>Professional Fees</t>
        </is>
      </c>
    </row>
    <row r="22">
      <c r="A22" t="inlineStr">
        <is>
          <t>Bank Charges</t>
        </is>
      </c>
    </row>
    <row r="23">
      <c r="A23" t="inlineStr">
        <is>
          <t>Other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5" customWidth="1" min="3" max="3"/>
    <col width="12" customWidth="1" min="4" max="4"/>
    <col width="35" customWidth="1" min="5" max="5"/>
    <col width="10" customWidth="1" min="6" max="6"/>
    <col width="12" customWidth="1" min="7" max="7"/>
    <col width="12" customWidth="1" min="8" max="8"/>
    <col width="10" customWidth="1" min="9" max="9"/>
    <col width="12" customWidth="1" min="10" max="10"/>
    <col width="12" customWidth="1" min="11" max="11"/>
    <col width="15" customWidth="1" min="12" max="12"/>
    <col width="12" customWidth="1" min="13" max="13"/>
  </cols>
  <sheetData>
    <row r="1">
      <c r="A1" s="5" t="inlineStr">
        <is>
          <t>Invoice No.</t>
        </is>
      </c>
      <c r="B1" s="5" t="inlineStr">
        <is>
          <t>Date</t>
        </is>
      </c>
      <c r="C1" s="5" t="inlineStr">
        <is>
          <t>Client Name</t>
        </is>
      </c>
      <c r="D1" s="5" t="inlineStr">
        <is>
          <t>Event Date</t>
        </is>
      </c>
      <c r="E1" s="5" t="inlineStr">
        <is>
          <t>Items/Equipment</t>
        </is>
      </c>
      <c r="F1" s="5" t="inlineStr">
        <is>
          <t>Quantity</t>
        </is>
      </c>
      <c r="G1" s="5" t="inlineStr">
        <is>
          <t>Unit Price</t>
        </is>
      </c>
      <c r="H1" s="5" t="inlineStr">
        <is>
          <t>Subtotal</t>
        </is>
      </c>
      <c r="I1" s="5" t="inlineStr">
        <is>
          <t>VAT Rate</t>
        </is>
      </c>
      <c r="J1" s="5" t="inlineStr">
        <is>
          <t>VAT Amount</t>
        </is>
      </c>
      <c r="K1" s="5" t="inlineStr">
        <is>
          <t>Total Amount</t>
        </is>
      </c>
      <c r="L1" s="5" t="inlineStr">
        <is>
          <t>Amount Received</t>
        </is>
      </c>
      <c r="M1" s="5" t="inlineStr">
        <is>
          <t>Balance</t>
        </is>
      </c>
    </row>
    <row r="2">
      <c r="A2" t="inlineStr">
        <is>
          <t>INV-2025-001</t>
        </is>
      </c>
      <c r="B2" s="6" t="n">
        <v>45672</v>
      </c>
      <c r="C2" t="inlineStr">
        <is>
          <t>Sample Client Ltd</t>
        </is>
      </c>
      <c r="D2" s="6" t="n">
        <v>45677</v>
      </c>
      <c r="E2" t="inlineStr">
        <is>
          <t>LED Stage Lights x10, Sound System</t>
        </is>
      </c>
      <c r="F2" t="n">
        <v>1</v>
      </c>
      <c r="G2" s="4" t="n">
        <v>15000</v>
      </c>
      <c r="H2" s="4">
        <f>F2*G2</f>
        <v/>
      </c>
      <c r="I2" s="7">
        <f>Settings!$B$4/100</f>
        <v/>
      </c>
      <c r="J2" s="4">
        <f>H2*I2</f>
        <v/>
      </c>
      <c r="K2" s="4">
        <f>H2+J2</f>
        <v/>
      </c>
      <c r="L2" s="4" t="n">
        <v>15000</v>
      </c>
      <c r="M2" s="4">
        <f>K2-L2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5" customWidth="1" min="3" max="3"/>
    <col width="35" customWidth="1" min="4" max="4"/>
    <col width="10" customWidth="1" min="5" max="5"/>
    <col width="12" customWidth="1" min="6" max="6"/>
    <col width="12" customWidth="1" min="7" max="7"/>
    <col width="15" customWidth="1" min="8" max="8"/>
    <col width="12" customWidth="1" min="9" max="9"/>
    <col width="2" customWidth="1" min="10" max="10"/>
    <col width="20" customWidth="1" min="11" max="11"/>
    <col width="15" customWidth="1" min="12" max="12"/>
  </cols>
  <sheetData>
    <row r="1">
      <c r="A1" s="5" t="inlineStr">
        <is>
          <t>Date</t>
        </is>
      </c>
      <c r="B1" s="5" t="inlineStr">
        <is>
          <t>Invoice No.</t>
        </is>
      </c>
      <c r="C1" s="5" t="inlineStr">
        <is>
          <t>Client Name</t>
        </is>
      </c>
      <c r="D1" s="5" t="inlineStr">
        <is>
          <t>Service/Equipment Provided</t>
        </is>
      </c>
      <c r="E1" s="5" t="inlineStr">
        <is>
          <t>Quantity</t>
        </is>
      </c>
      <c r="F1" s="5" t="inlineStr">
        <is>
          <t>Unit Price</t>
        </is>
      </c>
      <c r="G1" s="5" t="inlineStr">
        <is>
          <t>Total Amount</t>
        </is>
      </c>
      <c r="H1" s="5" t="inlineStr">
        <is>
          <t>Amount Received</t>
        </is>
      </c>
      <c r="I1" s="5" t="inlineStr">
        <is>
          <t>Balance</t>
        </is>
      </c>
      <c r="K1" s="3" t="inlineStr">
        <is>
          <t>REVENUE SUMMARY</t>
        </is>
      </c>
    </row>
    <row r="2">
      <c r="A2" s="6">
        <f>Invoices!B2</f>
        <v/>
      </c>
      <c r="B2">
        <f>Invoices!A2</f>
        <v/>
      </c>
      <c r="C2">
        <f>Invoices!C2</f>
        <v/>
      </c>
      <c r="D2">
        <f>Invoices!E2</f>
        <v/>
      </c>
      <c r="E2">
        <f>Invoices!F2</f>
        <v/>
      </c>
      <c r="F2" s="4">
        <f>Invoices!G2</f>
        <v/>
      </c>
      <c r="G2" s="4">
        <f>Invoices!K2</f>
        <v/>
      </c>
      <c r="H2" s="4">
        <f>Invoices!L2</f>
        <v/>
      </c>
      <c r="I2" s="4">
        <f>Invoices!M2</f>
        <v/>
      </c>
    </row>
    <row r="3">
      <c r="K3" t="inlineStr">
        <is>
          <t>Today's Revenue</t>
        </is>
      </c>
      <c r="L3" s="4">
        <f>SUMIFS(H:H,A:A,TODAY())</f>
        <v/>
      </c>
    </row>
    <row r="4">
      <c r="K4" t="inlineStr">
        <is>
          <t>This Month's Revenue</t>
        </is>
      </c>
      <c r="L4" s="4">
        <f>SUMIFS(H:H,A:A,"&gt;="&amp;DATE(YEAR(TODAY()),MONTH(TODAY()),1),A:A,"&lt;"&amp;DATE(YEAR(TODAY()),MONTH(TODAY())+1,1))</f>
        <v/>
      </c>
    </row>
    <row r="5">
      <c r="K5" t="inlineStr">
        <is>
          <t>This Year's Revenue</t>
        </is>
      </c>
      <c r="L5" s="4">
        <f>SUMIFS(H:H,A:A,"&gt;="&amp;DATE(YEAR(TODAY()),1,1),A:A,"&lt;"&amp;DATE(YEAR(TODAY())+1,1,1))</f>
        <v/>
      </c>
    </row>
    <row r="7">
      <c r="K7" t="inlineStr">
        <is>
          <t>Total Outstanding</t>
        </is>
      </c>
      <c r="L7" s="4">
        <f>SUM(I:I)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5" customWidth="1" min="3" max="3"/>
    <col width="35" customWidth="1" min="4" max="4"/>
    <col width="12" customWidth="1" min="5" max="5"/>
    <col width="18" customWidth="1" min="6" max="6"/>
    <col width="15" customWidth="1" min="7" max="7"/>
    <col width="2" customWidth="1" min="8" max="8"/>
    <col width="25" customWidth="1" min="9" max="9"/>
    <col width="15" customWidth="1" min="10" max="10"/>
  </cols>
  <sheetData>
    <row r="1">
      <c r="A1" s="5" t="inlineStr">
        <is>
          <t>Date</t>
        </is>
      </c>
      <c r="B1" s="5" t="inlineStr">
        <is>
          <t>Expense Category</t>
        </is>
      </c>
      <c r="C1" s="5" t="inlineStr">
        <is>
          <t>Vendor</t>
        </is>
      </c>
      <c r="D1" s="5" t="inlineStr">
        <is>
          <t>Description</t>
        </is>
      </c>
      <c r="E1" s="5" t="inlineStr">
        <is>
          <t>Amount</t>
        </is>
      </c>
      <c r="F1" s="5" t="inlineStr">
        <is>
          <t>Payment Method</t>
        </is>
      </c>
      <c r="G1" s="5" t="inlineStr">
        <is>
          <t>Reference</t>
        </is>
      </c>
      <c r="I1" s="3" t="inlineStr">
        <is>
          <t>EXPENSE SUMMARY</t>
        </is>
      </c>
    </row>
    <row r="2">
      <c r="A2" s="6" t="n">
        <v>45667</v>
      </c>
      <c r="B2" t="inlineStr">
        <is>
          <t>Equipment Purchase</t>
        </is>
      </c>
      <c r="C2" t="inlineStr">
        <is>
          <t>Tech Supplies Ltd</t>
        </is>
      </c>
      <c r="D2" t="inlineStr">
        <is>
          <t>10x LED Par Lights</t>
        </is>
      </c>
      <c r="E2" s="4" t="n">
        <v>25000</v>
      </c>
      <c r="F2" t="inlineStr">
        <is>
          <t>Bank Transfer</t>
        </is>
      </c>
      <c r="G2" t="inlineStr">
        <is>
          <t>TXN-001</t>
        </is>
      </c>
    </row>
    <row r="3">
      <c r="I3" t="inlineStr">
        <is>
          <t>This Month's Expenses</t>
        </is>
      </c>
      <c r="J3" s="4">
        <f>SUMIFS(E:E,A:A,"&gt;="&amp;DATE(YEAR(TODAY()),MONTH(TODAY()),1),A:A,"&lt;"&amp;DATE(YEAR(TODAY()),MONTH(TODAY())+1,1))</f>
        <v/>
      </c>
    </row>
    <row r="4">
      <c r="I4" t="inlineStr">
        <is>
          <t>This Year's Expenses</t>
        </is>
      </c>
      <c r="J4" s="4">
        <f>SUMIFS(E:E,A:A,"&gt;="&amp;DATE(YEAR(TODAY()),1,1),A:A,"&lt;"&amp;DATE(YEAR(TODAY())+1,1,1))</f>
        <v/>
      </c>
    </row>
    <row r="6">
      <c r="I6" s="8" t="inlineStr">
        <is>
          <t>By Category (YTD)</t>
        </is>
      </c>
    </row>
    <row r="7">
      <c r="I7" t="inlineStr">
        <is>
          <t>Equipment Purchase</t>
        </is>
      </c>
      <c r="J7" s="4">
        <f>SUMIFS(E:E,B:B,I7,A:A,"&gt;="&amp;DATE(YEAR(TODAY()),1,1))</f>
        <v/>
      </c>
    </row>
    <row r="8">
      <c r="I8" t="inlineStr">
        <is>
          <t>Equipment Maintenance</t>
        </is>
      </c>
      <c r="J8" s="4">
        <f>SUMIFS(E:E,B:B,I8,A:A,"&gt;="&amp;DATE(YEAR(TODAY()),1,1))</f>
        <v/>
      </c>
    </row>
    <row r="9">
      <c r="I9" t="inlineStr">
        <is>
          <t>Transport/Fuel</t>
        </is>
      </c>
      <c r="J9" s="4">
        <f>SUMIFS(E:E,B:B,I9,A:A,"&gt;="&amp;DATE(YEAR(TODAY()),1,1))</f>
        <v/>
      </c>
    </row>
    <row r="10">
      <c r="I10" t="inlineStr">
        <is>
          <t>Salaries/Wages</t>
        </is>
      </c>
      <c r="J10" s="4">
        <f>SUMIFS(E:E,B:B,I10,A:A,"&gt;="&amp;DATE(YEAR(TODAY()),1,1))</f>
        <v/>
      </c>
    </row>
    <row r="11">
      <c r="I11" t="inlineStr">
        <is>
          <t>Rent</t>
        </is>
      </c>
      <c r="J11" s="4">
        <f>SUMIFS(E:E,B:B,I11,A:A,"&gt;="&amp;DATE(YEAR(TODAY()),1,1))</f>
        <v/>
      </c>
    </row>
    <row r="12">
      <c r="I12" t="inlineStr">
        <is>
          <t>Utilities</t>
        </is>
      </c>
      <c r="J12" s="4">
        <f>SUMIFS(E:E,B:B,I12,A:A,"&gt;="&amp;DATE(YEAR(TODAY()),1,1))</f>
        <v/>
      </c>
    </row>
    <row r="13">
      <c r="I13" t="inlineStr">
        <is>
          <t>Insurance</t>
        </is>
      </c>
      <c r="J13" s="4">
        <f>SUMIFS(E:E,B:B,I13,A:A,"&gt;="&amp;DATE(YEAR(TODAY()),1,1))</f>
        <v/>
      </c>
    </row>
    <row r="14">
      <c r="I14" t="inlineStr">
        <is>
          <t>Marketing</t>
        </is>
      </c>
      <c r="J14" s="4">
        <f>SUMIFS(E:E,B:B,I14,A:A,"&gt;="&amp;DATE(YEAR(TODAY()),1,1))</f>
        <v/>
      </c>
    </row>
    <row r="15">
      <c r="I15" t="inlineStr">
        <is>
          <t>Office Supplies</t>
        </is>
      </c>
      <c r="J15" s="4">
        <f>SUMIFS(E:E,B:B,I15,A:A,"&gt;="&amp;DATE(YEAR(TODAY()),1,1))</f>
        <v/>
      </c>
    </row>
    <row r="16">
      <c r="I16" t="inlineStr">
        <is>
          <t>Professional Fees</t>
        </is>
      </c>
      <c r="J16" s="4">
        <f>SUMIFS(E:E,B:B,I16,A:A,"&gt;="&amp;DATE(YEAR(TODAY()),1,1))</f>
        <v/>
      </c>
    </row>
    <row r="17">
      <c r="I17" t="inlineStr">
        <is>
          <t>Bank Charges</t>
        </is>
      </c>
      <c r="J17" s="4">
        <f>SUMIFS(E:E,B:B,I17,A:A,"&gt;="&amp;DATE(YEAR(TODAY()),1,1))</f>
        <v/>
      </c>
    </row>
    <row r="18">
      <c r="I18" t="inlineStr">
        <is>
          <t>Other</t>
        </is>
      </c>
      <c r="J18" s="4">
        <f>SUMIFS(E:E,B:B,I18,A:A,"&gt;="&amp;DATE(YEAR(TODAY()),1,1))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2" customWidth="1" min="3" max="3"/>
    <col width="18" customWidth="1" min="4" max="4"/>
    <col width="18" customWidth="1" min="5" max="5"/>
    <col width="15" customWidth="1" min="6" max="6"/>
    <col width="15" customWidth="1" min="7" max="7"/>
    <col width="18" customWidth="1" min="8" max="8"/>
    <col width="2" customWidth="1" min="9" max="9"/>
    <col width="20" customWidth="1" min="10" max="10"/>
    <col width="15" customWidth="1" min="11" max="11"/>
  </cols>
  <sheetData>
    <row r="1">
      <c r="A1" s="5" t="inlineStr">
        <is>
          <t>Stock ID</t>
        </is>
      </c>
      <c r="B1" s="5" t="inlineStr">
        <is>
          <t>Item Description</t>
        </is>
      </c>
      <c r="C1" s="5" t="inlineStr">
        <is>
          <t>Unit Price</t>
        </is>
      </c>
      <c r="D1" s="5" t="inlineStr">
        <is>
          <t>Quantity in Store</t>
        </is>
      </c>
      <c r="E1" s="5" t="inlineStr">
        <is>
          <t>Quantity Rented Out</t>
        </is>
      </c>
      <c r="F1" s="5" t="inlineStr">
        <is>
          <t>Stock in Transit</t>
        </is>
      </c>
      <c r="G1" s="5" t="inlineStr">
        <is>
          <t>Total Quantity</t>
        </is>
      </c>
      <c r="H1" s="5" t="inlineStr">
        <is>
          <t>Total Stock Value</t>
        </is>
      </c>
    </row>
    <row r="2">
      <c r="A2" t="inlineStr">
        <is>
          <t>STK-001</t>
        </is>
      </c>
      <c r="B2" t="inlineStr">
        <is>
          <t>LED Par Light</t>
        </is>
      </c>
      <c r="C2" s="4" t="n">
        <v>2500</v>
      </c>
      <c r="D2" t="n">
        <v>20</v>
      </c>
      <c r="E2" t="n">
        <v>5</v>
      </c>
      <c r="F2" t="n">
        <v>0</v>
      </c>
      <c r="G2">
        <f>D2+E2+F2</f>
        <v/>
      </c>
      <c r="H2" s="4">
        <f>C2*G2</f>
        <v/>
      </c>
    </row>
    <row r="3">
      <c r="A3" t="inlineStr">
        <is>
          <t>STK-002</t>
        </is>
      </c>
      <c r="B3" t="inlineStr">
        <is>
          <t>Moving Head Light</t>
        </is>
      </c>
      <c r="C3" s="4" t="n">
        <v>8000</v>
      </c>
      <c r="D3" t="n">
        <v>10</v>
      </c>
      <c r="E3" t="n">
        <v>3</v>
      </c>
      <c r="F3" t="n">
        <v>2</v>
      </c>
      <c r="G3">
        <f>D3+E3+F3</f>
        <v/>
      </c>
      <c r="H3" s="4">
        <f>C3*G3</f>
        <v/>
      </c>
      <c r="J3" t="inlineStr">
        <is>
          <t>Available for Rent</t>
        </is>
      </c>
      <c r="K3">
        <f>SUM(D:D)</f>
        <v/>
      </c>
    </row>
    <row r="4">
      <c r="A4" t="inlineStr">
        <is>
          <t>STK-003</t>
        </is>
      </c>
      <c r="B4" t="inlineStr">
        <is>
          <t>Sound System (Complete)</t>
        </is>
      </c>
      <c r="C4" s="4" t="n">
        <v>45000</v>
      </c>
      <c r="D4" t="n">
        <v>3</v>
      </c>
      <c r="E4" t="n">
        <v>1</v>
      </c>
      <c r="F4" t="n">
        <v>0</v>
      </c>
      <c r="G4">
        <f>D4+E4+F4</f>
        <v/>
      </c>
      <c r="H4" s="4">
        <f>C4*G4</f>
        <v/>
      </c>
      <c r="J4" t="inlineStr">
        <is>
          <t>Currently Rented</t>
        </is>
      </c>
      <c r="K4">
        <f>SUM(E:E)</f>
        <v/>
      </c>
    </row>
    <row r="5">
      <c r="A5" t="inlineStr">
        <is>
          <t>STK-004</t>
        </is>
      </c>
      <c r="B5" t="inlineStr">
        <is>
          <t>Smoke Machine</t>
        </is>
      </c>
      <c r="C5" s="4" t="n">
        <v>3500</v>
      </c>
      <c r="D5" t="n">
        <v>8</v>
      </c>
      <c r="E5" t="n">
        <v>2</v>
      </c>
      <c r="F5" t="n">
        <v>0</v>
      </c>
      <c r="G5">
        <f>D5+E5+F5</f>
        <v/>
      </c>
      <c r="H5" s="4">
        <f>C5*G5</f>
        <v/>
      </c>
      <c r="J5" t="inlineStr">
        <is>
          <t>In Transit</t>
        </is>
      </c>
      <c r="K5">
        <f>SUM(F:F)</f>
        <v/>
      </c>
    </row>
    <row r="6">
      <c r="A6" t="inlineStr">
        <is>
          <t>STK-005</t>
        </is>
      </c>
      <c r="B6" t="inlineStr">
        <is>
          <t>DMX Controller</t>
        </is>
      </c>
      <c r="C6" s="4" t="n">
        <v>5000</v>
      </c>
      <c r="D6" t="n">
        <v>5</v>
      </c>
      <c r="E6" t="n">
        <v>1</v>
      </c>
      <c r="F6" t="n">
        <v>0</v>
      </c>
      <c r="G6">
        <f>D6+E6+F6</f>
        <v/>
      </c>
      <c r="H6" s="4">
        <f>C6*G6</f>
        <v/>
      </c>
    </row>
    <row r="7">
      <c r="A7" t="inlineStr">
        <is>
          <t>STK-006</t>
        </is>
      </c>
      <c r="B7" t="inlineStr">
        <is>
          <t>Lighting Truss (per meter)</t>
        </is>
      </c>
      <c r="C7" s="4" t="n">
        <v>800</v>
      </c>
      <c r="D7" t="n">
        <v>50</v>
      </c>
      <c r="E7" t="n">
        <v>20</v>
      </c>
      <c r="F7" t="n">
        <v>0</v>
      </c>
      <c r="G7">
        <f>D7+E7+F7</f>
        <v/>
      </c>
      <c r="H7" s="4">
        <f>C7*G7</f>
        <v/>
      </c>
    </row>
    <row r="8">
      <c r="A8" t="inlineStr">
        <is>
          <t>STK-007</t>
        </is>
      </c>
      <c r="B8" t="inlineStr">
        <is>
          <t>Power Distribution Box</t>
        </is>
      </c>
      <c r="C8" s="4" t="n">
        <v>1200</v>
      </c>
      <c r="D8" t="n">
        <v>15</v>
      </c>
      <c r="E8" t="n">
        <v>5</v>
      </c>
      <c r="F8" t="n">
        <v>0</v>
      </c>
      <c r="G8">
        <f>D8+E8+F8</f>
        <v/>
      </c>
      <c r="H8" s="4">
        <f>C8*G8</f>
        <v/>
      </c>
    </row>
    <row r="9">
      <c r="A9" t="inlineStr">
        <is>
          <t>STK-008</t>
        </is>
      </c>
      <c r="B9" t="inlineStr">
        <is>
          <t>Microphone (Wireless)</t>
        </is>
      </c>
      <c r="C9" s="4" t="n">
        <v>1500</v>
      </c>
      <c r="D9" t="n">
        <v>12</v>
      </c>
      <c r="E9" t="n">
        <v>4</v>
      </c>
      <c r="F9" t="n">
        <v>0</v>
      </c>
      <c r="G9">
        <f>D9+E9+F9</f>
        <v/>
      </c>
      <c r="H9" s="4">
        <f>C9*G9</f>
        <v/>
      </c>
    </row>
    <row r="10">
      <c r="A10" t="inlineStr">
        <is>
          <t>STK-009</t>
        </is>
      </c>
      <c r="B10" t="inlineStr">
        <is>
          <t>Speaker (500W)</t>
        </is>
      </c>
      <c r="C10" s="4" t="n">
        <v>6000</v>
      </c>
      <c r="D10" t="n">
        <v>8</v>
      </c>
      <c r="E10" t="n">
        <v>3</v>
      </c>
      <c r="F10" t="n">
        <v>1</v>
      </c>
      <c r="G10">
        <f>D10+E10+F10</f>
        <v/>
      </c>
      <c r="H10" s="4">
        <f>C10*G10</f>
        <v/>
      </c>
    </row>
    <row r="11">
      <c r="A11" t="inlineStr">
        <is>
          <t>STK-010</t>
        </is>
      </c>
      <c r="B11" t="inlineStr">
        <is>
          <t>Cable Set (Complete)</t>
        </is>
      </c>
      <c r="C11" s="4" t="n">
        <v>300</v>
      </c>
      <c r="D11" t="n">
        <v>30</v>
      </c>
      <c r="E11" t="n">
        <v>10</v>
      </c>
      <c r="F11" t="n">
        <v>5</v>
      </c>
      <c r="G11">
        <f>D11+E11+F11</f>
        <v/>
      </c>
      <c r="H11" s="4">
        <f>C11*G11</f>
        <v/>
      </c>
    </row>
    <row r="12">
      <c r="A12" s="9" t="inlineStr">
        <is>
          <t>TOTAL STOCK VALUE</t>
        </is>
      </c>
      <c r="H12" s="10">
        <f>SUM(H2:H11)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5" customWidth="1" min="3" max="3"/>
    <col width="15" customWidth="1" min="4" max="4"/>
    <col width="12" customWidth="1" min="5" max="5"/>
    <col width="18" customWidth="1" min="6" max="6"/>
    <col width="15" customWidth="1" min="7" max="7"/>
    <col width="2" customWidth="1" min="8" max="8"/>
    <col width="20" customWidth="1" min="9" max="9"/>
    <col width="15" customWidth="1" min="10" max="10"/>
  </cols>
  <sheetData>
    <row r="1">
      <c r="A1" s="5" t="inlineStr">
        <is>
          <t>Invoice No.</t>
        </is>
      </c>
      <c r="B1" s="5" t="inlineStr">
        <is>
          <t>Date</t>
        </is>
      </c>
      <c r="C1" s="5" t="inlineStr">
        <is>
          <t>Client Name</t>
        </is>
      </c>
      <c r="D1" s="5" t="inlineStr">
        <is>
          <t>Amount Owed</t>
        </is>
      </c>
      <c r="E1" s="5" t="inlineStr">
        <is>
          <t>Due Date</t>
        </is>
      </c>
      <c r="F1" s="5" t="inlineStr">
        <is>
          <t>Days Outstanding</t>
        </is>
      </c>
      <c r="G1" s="5" t="inlineStr">
        <is>
          <t>Status</t>
        </is>
      </c>
    </row>
    <row r="2">
      <c r="A2" s="11" t="inlineStr">
        <is>
          <t>This sheet auto-populates from Invoices where Balance &gt; 0</t>
        </is>
      </c>
    </row>
    <row r="3">
      <c r="I3" t="inlineStr">
        <is>
          <t>Total Outstanding</t>
        </is>
      </c>
      <c r="J3" s="12">
        <f>SUM(D:D)</f>
        <v/>
      </c>
    </row>
    <row r="4">
      <c r="A4">
        <f>IFERROR(INDEX(Invoices!$A:$A,SMALL(IF(Invoices!$M$2:$M$1000&gt;0,ROW(Invoices!$M$2:$M$1000)),ROW()-3)),"")</f>
        <v/>
      </c>
      <c r="B4" s="6">
        <f>IFERROR(INDEX(Invoices!$B:$B,MATCH(A4,Invoices!$A:$A,0)),"")</f>
        <v/>
      </c>
      <c r="C4">
        <f>IFERROR(INDEX(Invoices!$C:$C,MATCH(A4,Invoices!$A:$A,0)),"")</f>
        <v/>
      </c>
      <c r="D4" s="4">
        <f>IFERROR(INDEX(Invoices!$M:$M,MATCH(A4,Invoices!$A:$A,0)),"")</f>
        <v/>
      </c>
      <c r="E4" s="6">
        <f>IFERROR(B4+30,"")</f>
        <v/>
      </c>
      <c r="F4">
        <f>IFERROR(IF(A4&lt;&gt;"",TODAY()-B4,""),"")</f>
        <v/>
      </c>
      <c r="G4">
        <f>IFERROR(IF(F4="","",IF(F4&gt;60,"Overdue",IF(F4&gt;30,"Due Soon","Current"))),"")</f>
        <v/>
      </c>
    </row>
    <row r="5">
      <c r="I5" t="inlineStr">
        <is>
          <t>Current (0-30 days)</t>
        </is>
      </c>
      <c r="J5" s="4">
        <f>SUMIF(G:G,"Current",D:D)</f>
        <v/>
      </c>
    </row>
    <row r="6">
      <c r="I6" t="inlineStr">
        <is>
          <t>Due Soon (31-60 days)</t>
        </is>
      </c>
      <c r="J6" s="4">
        <f>SUMIF(G:G,"Due Soon",D:D)</f>
        <v/>
      </c>
    </row>
    <row r="7">
      <c r="I7" t="inlineStr">
        <is>
          <t>Overdue (&gt;60 days)</t>
        </is>
      </c>
      <c r="J7" s="4">
        <f>SUMIF(G:G,"Overdue",D:D)</f>
        <v/>
      </c>
    </row>
  </sheetData>
  <mergeCells count="1">
    <mergeCell ref="A2:G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3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CASH POSITION STATEMENT</t>
        </is>
      </c>
    </row>
    <row r="2">
      <c r="A2" t="inlineStr">
        <is>
          <t>As at: 2025-11-22</t>
        </is>
      </c>
    </row>
    <row r="4">
      <c r="A4" s="5" t="inlineStr">
        <is>
          <t>CASH IN HAND</t>
        </is>
      </c>
      <c r="B4" s="5" t="n"/>
      <c r="D4" s="3" t="inlineStr">
        <is>
          <t>MONTHLY CASH FLOW</t>
        </is>
      </c>
    </row>
    <row r="5">
      <c r="A5" t="inlineStr">
        <is>
          <t>Opening Balance</t>
        </is>
      </c>
      <c r="B5" s="4">
        <f>Settings!B8</f>
        <v/>
      </c>
      <c r="D5" s="5" t="inlineStr">
        <is>
          <t>Month</t>
        </is>
      </c>
      <c r="E5" s="5" t="inlineStr">
        <is>
          <t>Inflows</t>
        </is>
      </c>
      <c r="F5" s="5" t="inlineStr">
        <is>
          <t>Outflows</t>
        </is>
      </c>
      <c r="G5" s="5" t="inlineStr">
        <is>
          <t>Net</t>
        </is>
      </c>
    </row>
    <row r="6">
      <c r="A6" t="inlineStr">
        <is>
          <t>Cash Received (YTD)</t>
        </is>
      </c>
      <c r="B6" s="4">
        <f>SUMIFS(Revenue!H:H,Revenue!A:A,"&gt;="&amp;Settings!$B$5,Expenses!F:F,"Cash")</f>
        <v/>
      </c>
      <c r="D6" t="inlineStr">
        <is>
          <t>January</t>
        </is>
      </c>
      <c r="E6" s="4">
        <f>SUMIFS(Revenue!H:H,Revenue!A:A,"&gt;="&amp;DATE(YEAR(TODAY()),1,1),Revenue!A:A,"&lt;"&amp;DATE(YEAR(TODAY()),1+1,1))</f>
        <v/>
      </c>
      <c r="F6" s="4">
        <f>SUMIFS(Expenses!E:E,Expenses!A:A,"&gt;="&amp;DATE(YEAR(TODAY()),1,1),Expenses!A:A,"&lt;"&amp;DATE(YEAR(TODAY()),1+1,1))</f>
        <v/>
      </c>
      <c r="G6" s="4">
        <f>E6-F6</f>
        <v/>
      </c>
    </row>
    <row r="7">
      <c r="A7" t="inlineStr">
        <is>
          <t>Cash Paid (YTD)</t>
        </is>
      </c>
      <c r="B7" s="4">
        <f>SUMIFS(Expenses!E:E,Expenses!A:A,"&gt;="&amp;Settings!$B$5,Expenses!F:F,"Cash")</f>
        <v/>
      </c>
      <c r="D7" t="inlineStr">
        <is>
          <t>February</t>
        </is>
      </c>
      <c r="E7" s="4">
        <f>SUMIFS(Revenue!H:H,Revenue!A:A,"&gt;="&amp;DATE(YEAR(TODAY()),2,1),Revenue!A:A,"&lt;"&amp;DATE(YEAR(TODAY()),2+1,1))</f>
        <v/>
      </c>
      <c r="F7" s="4">
        <f>SUMIFS(Expenses!E:E,Expenses!A:A,"&gt;="&amp;DATE(YEAR(TODAY()),2,1),Expenses!A:A,"&lt;"&amp;DATE(YEAR(TODAY()),2+1,1))</f>
        <v/>
      </c>
      <c r="G7" s="4">
        <f>E7-F7</f>
        <v/>
      </c>
    </row>
    <row r="8">
      <c r="A8" t="inlineStr">
        <is>
          <t>Closing Cash in Hand</t>
        </is>
      </c>
      <c r="B8" s="13">
        <f>B5+B6-B7</f>
        <v/>
      </c>
      <c r="D8" t="inlineStr">
        <is>
          <t>March</t>
        </is>
      </c>
      <c r="E8" s="4">
        <f>SUMIFS(Revenue!H:H,Revenue!A:A,"&gt;="&amp;DATE(YEAR(TODAY()),3,1),Revenue!A:A,"&lt;"&amp;DATE(YEAR(TODAY()),3+1,1))</f>
        <v/>
      </c>
      <c r="F8" s="4">
        <f>SUMIFS(Expenses!E:E,Expenses!A:A,"&gt;="&amp;DATE(YEAR(TODAY()),3,1),Expenses!A:A,"&lt;"&amp;DATE(YEAR(TODAY()),3+1,1))</f>
        <v/>
      </c>
      <c r="G8" s="4">
        <f>E8-F8</f>
        <v/>
      </c>
    </row>
    <row r="9">
      <c r="D9" t="inlineStr">
        <is>
          <t>April</t>
        </is>
      </c>
      <c r="E9" s="4">
        <f>SUMIFS(Revenue!H:H,Revenue!A:A,"&gt;="&amp;DATE(YEAR(TODAY()),4,1),Revenue!A:A,"&lt;"&amp;DATE(YEAR(TODAY()),4+1,1))</f>
        <v/>
      </c>
      <c r="F9" s="4">
        <f>SUMIFS(Expenses!E:E,Expenses!A:A,"&gt;="&amp;DATE(YEAR(TODAY()),4,1),Expenses!A:A,"&lt;"&amp;DATE(YEAR(TODAY()),4+1,1))</f>
        <v/>
      </c>
      <c r="G9" s="4">
        <f>E9-F9</f>
        <v/>
      </c>
    </row>
    <row r="10">
      <c r="A10" s="5" t="inlineStr">
        <is>
          <t>CASH AT BANK</t>
        </is>
      </c>
      <c r="B10" s="5" t="n"/>
      <c r="D10" t="inlineStr">
        <is>
          <t>May</t>
        </is>
      </c>
      <c r="E10" s="4">
        <f>SUMIFS(Revenue!H:H,Revenue!A:A,"&gt;="&amp;DATE(YEAR(TODAY()),5,1),Revenue!A:A,"&lt;"&amp;DATE(YEAR(TODAY()),5+1,1))</f>
        <v/>
      </c>
      <c r="F10" s="4">
        <f>SUMIFS(Expenses!E:E,Expenses!A:A,"&gt;="&amp;DATE(YEAR(TODAY()),5,1),Expenses!A:A,"&lt;"&amp;DATE(YEAR(TODAY()),5+1,1))</f>
        <v/>
      </c>
      <c r="G10" s="4">
        <f>E10-F10</f>
        <v/>
      </c>
    </row>
    <row r="11">
      <c r="A11" t="inlineStr">
        <is>
          <t>Opening Balance</t>
        </is>
      </c>
      <c r="B11" s="4">
        <f>Settings!B9</f>
        <v/>
      </c>
      <c r="D11" t="inlineStr">
        <is>
          <t>June</t>
        </is>
      </c>
      <c r="E11" s="4">
        <f>SUMIFS(Revenue!H:H,Revenue!A:A,"&gt;="&amp;DATE(YEAR(TODAY()),6,1),Revenue!A:A,"&lt;"&amp;DATE(YEAR(TODAY()),6+1,1))</f>
        <v/>
      </c>
      <c r="F11" s="4">
        <f>SUMIFS(Expenses!E:E,Expenses!A:A,"&gt;="&amp;DATE(YEAR(TODAY()),6,1),Expenses!A:A,"&lt;"&amp;DATE(YEAR(TODAY()),6+1,1))</f>
        <v/>
      </c>
      <c r="G11" s="4">
        <f>E11-F11</f>
        <v/>
      </c>
    </row>
    <row r="12">
      <c r="A12" t="inlineStr">
        <is>
          <t>Bank Receipts (YTD)</t>
        </is>
      </c>
      <c r="B12" s="4">
        <f>SUMIFS(Revenue!H:H,Revenue!A:A,"&gt;="&amp;Settings!$B$5)-B6</f>
        <v/>
      </c>
      <c r="D12" t="inlineStr">
        <is>
          <t>July</t>
        </is>
      </c>
      <c r="E12" s="4">
        <f>SUMIFS(Revenue!H:H,Revenue!A:A,"&gt;="&amp;DATE(YEAR(TODAY()),7,1),Revenue!A:A,"&lt;"&amp;DATE(YEAR(TODAY()),7+1,1))</f>
        <v/>
      </c>
      <c r="F12" s="4">
        <f>SUMIFS(Expenses!E:E,Expenses!A:A,"&gt;="&amp;DATE(YEAR(TODAY()),7,1),Expenses!A:A,"&lt;"&amp;DATE(YEAR(TODAY()),7+1,1))</f>
        <v/>
      </c>
      <c r="G12" s="4">
        <f>E12-F12</f>
        <v/>
      </c>
    </row>
    <row r="13">
      <c r="A13" t="inlineStr">
        <is>
          <t>Bank Payments (YTD)</t>
        </is>
      </c>
      <c r="B13" s="4">
        <f>SUMIFS(Expenses!E:E,Expenses!A:A,"&gt;="&amp;Settings!$B$5)-B7</f>
        <v/>
      </c>
      <c r="D13" t="inlineStr">
        <is>
          <t>August</t>
        </is>
      </c>
      <c r="E13" s="4">
        <f>SUMIFS(Revenue!H:H,Revenue!A:A,"&gt;="&amp;DATE(YEAR(TODAY()),8,1),Revenue!A:A,"&lt;"&amp;DATE(YEAR(TODAY()),8+1,1))</f>
        <v/>
      </c>
      <c r="F13" s="4">
        <f>SUMIFS(Expenses!E:E,Expenses!A:A,"&gt;="&amp;DATE(YEAR(TODAY()),8,1),Expenses!A:A,"&lt;"&amp;DATE(YEAR(TODAY()),8+1,1))</f>
        <v/>
      </c>
      <c r="G13" s="4">
        <f>E13-F13</f>
        <v/>
      </c>
    </row>
    <row r="14">
      <c r="A14" t="inlineStr">
        <is>
          <t>Closing Cash at Bank</t>
        </is>
      </c>
      <c r="B14" s="13">
        <f>B11+B12-B13</f>
        <v/>
      </c>
      <c r="D14" t="inlineStr">
        <is>
          <t>September</t>
        </is>
      </c>
      <c r="E14" s="4">
        <f>SUMIFS(Revenue!H:H,Revenue!A:A,"&gt;="&amp;DATE(YEAR(TODAY()),9,1),Revenue!A:A,"&lt;"&amp;DATE(YEAR(TODAY()),9+1,1))</f>
        <v/>
      </c>
      <c r="F14" s="4">
        <f>SUMIFS(Expenses!E:E,Expenses!A:A,"&gt;="&amp;DATE(YEAR(TODAY()),9,1),Expenses!A:A,"&lt;"&amp;DATE(YEAR(TODAY()),9+1,1))</f>
        <v/>
      </c>
      <c r="G14" s="4">
        <f>E14-F14</f>
        <v/>
      </c>
    </row>
    <row r="15">
      <c r="D15" t="inlineStr">
        <is>
          <t>October</t>
        </is>
      </c>
      <c r="E15" s="4">
        <f>SUMIFS(Revenue!H:H,Revenue!A:A,"&gt;="&amp;DATE(YEAR(TODAY()),10,1),Revenue!A:A,"&lt;"&amp;DATE(YEAR(TODAY()),10+1,1))</f>
        <v/>
      </c>
      <c r="F15" s="4">
        <f>SUMIFS(Expenses!E:E,Expenses!A:A,"&gt;="&amp;DATE(YEAR(TODAY()),10,1),Expenses!A:A,"&lt;"&amp;DATE(YEAR(TODAY()),10+1,1))</f>
        <v/>
      </c>
      <c r="G15" s="4">
        <f>E15-F15</f>
        <v/>
      </c>
    </row>
    <row r="16">
      <c r="A16" s="14" t="inlineStr">
        <is>
          <t>TOTAL CASH POSITION</t>
        </is>
      </c>
      <c r="B16" s="15">
        <f>B8+B14</f>
        <v/>
      </c>
      <c r="D16" t="inlineStr">
        <is>
          <t>November</t>
        </is>
      </c>
      <c r="E16" s="4">
        <f>SUMIFS(Revenue!H:H,Revenue!A:A,"&gt;="&amp;DATE(YEAR(TODAY()),11,1),Revenue!A:A,"&lt;"&amp;DATE(YEAR(TODAY()),11+1,1))</f>
        <v/>
      </c>
      <c r="F16" s="4">
        <f>SUMIFS(Expenses!E:E,Expenses!A:A,"&gt;="&amp;DATE(YEAR(TODAY()),11,1),Expenses!A:A,"&lt;"&amp;DATE(YEAR(TODAY()),11+1,1))</f>
        <v/>
      </c>
      <c r="G16" s="4">
        <f>E16-F16</f>
        <v/>
      </c>
    </row>
    <row r="17">
      <c r="D17" t="inlineStr">
        <is>
          <t>December</t>
        </is>
      </c>
      <c r="E17" s="4">
        <f>SUMIFS(Revenue!H:H,Revenue!A:A,"&gt;="&amp;DATE(YEAR(TODAY()),12,1),Revenue!A:A,"&lt;"&amp;DATE(YEAR(TODAY()),12+1,1))</f>
        <v/>
      </c>
      <c r="F17" s="4">
        <f>SUMIFS(Expenses!E:E,Expenses!A:A,"&gt;="&amp;DATE(YEAR(TODAY()),12,1),Expenses!A:A,"&lt;"&amp;DATE(YEAR(TODAY()),12+1,1))</f>
        <v/>
      </c>
      <c r="G17" s="4">
        <f>E17-F17</f>
        <v/>
      </c>
    </row>
  </sheetData>
  <mergeCells count="3">
    <mergeCell ref="A1:D1"/>
    <mergeCell ref="D4:F4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END-OF-YEAR TAX SUMMARY</t>
        </is>
      </c>
    </row>
    <row r="2">
      <c r="A2" s="16" t="inlineStr">
        <is>
          <t>Financial Year: 2025</t>
        </is>
      </c>
    </row>
    <row r="4">
      <c r="A4" s="17" t="inlineStr">
        <is>
          <t>REVENUE</t>
        </is>
      </c>
    </row>
    <row r="5">
      <c r="A5" t="inlineStr">
        <is>
          <t>Total Revenue (Invoiced)</t>
        </is>
      </c>
      <c r="B5" s="4">
        <f>SUMIFS(Revenue!G:G,Revenue!A:A,"&gt;="&amp;Settings!$B$5,Revenue!A:A,"&lt;"&amp;DATE(YEAR(Settings!$B$5)+1,1,1))</f>
        <v/>
      </c>
    </row>
    <row r="6">
      <c r="A6" t="inlineStr">
        <is>
          <t>Total Revenue (Received)</t>
        </is>
      </c>
      <c r="B6" s="4">
        <f>SUMIFS(Revenue!H:H,Revenue!A:A,"&gt;="&amp;Settings!$B$5,Revenue!A:A,"&lt;"&amp;DATE(YEAR(Settings!$B$5)+1,1,1))</f>
        <v/>
      </c>
    </row>
    <row r="7">
      <c r="A7" t="inlineStr">
        <is>
          <t>Outstanding Receivables</t>
        </is>
      </c>
      <c r="B7" s="4">
        <f>B5-B6</f>
        <v/>
      </c>
    </row>
    <row r="9">
      <c r="A9" s="17" t="inlineStr">
        <is>
          <t>VALUE ADDED TAX (VAT)</t>
        </is>
      </c>
    </row>
    <row r="10">
      <c r="A10" t="inlineStr">
        <is>
          <t>VAT Collected on Sales</t>
        </is>
      </c>
      <c r="B10" s="4">
        <f>SUMIFS(Invoices!J:J,Invoices!B:B,"&gt;="&amp;Settings!$B$5,Invoices!B:B,"&lt;"&amp;DATE(YEAR(Settings!$B$5)+1,1,1))</f>
        <v/>
      </c>
    </row>
    <row r="11">
      <c r="A11" t="inlineStr">
        <is>
          <t>VAT Paid on Purchases</t>
        </is>
      </c>
      <c r="B11" s="4">
        <f>SUMIFS(Expenses!E:E,Expenses!A:A,"&gt;="&amp;Settings!$B$5,Expenses!A:A,"&lt;"&amp;DATE(YEAR(Settings!$B$5)+1,1,1))*(Settings!$B$4/100)/(1+Settings!$B$4/100)</f>
        <v/>
      </c>
    </row>
    <row r="12">
      <c r="A12" t="inlineStr">
        <is>
          <t>Net VAT Payable</t>
        </is>
      </c>
      <c r="B12" s="18">
        <f>B10-B11</f>
        <v/>
      </c>
    </row>
    <row r="14">
      <c r="A14" s="17" t="inlineStr">
        <is>
          <t>EXPENSES (Deductible)</t>
        </is>
      </c>
    </row>
    <row r="15">
      <c r="A15" t="inlineStr">
        <is>
          <t>Equipment Purchase</t>
        </is>
      </c>
      <c r="B15" s="4">
        <f>SUMIFS(Expenses!E:E,Expenses!B:B,A15,Expenses!A:A,"&gt;="&amp;Settings!$B$5,Expenses!A:A,"&lt;"&amp;DATE(YEAR(Settings!$B$5)+1,1,1))</f>
        <v/>
      </c>
    </row>
    <row r="16">
      <c r="A16" t="inlineStr">
        <is>
          <t>Equipment Maintenance</t>
        </is>
      </c>
      <c r="B16" s="4">
        <f>SUMIFS(Expenses!E:E,Expenses!B:B,A16,Expenses!A:A,"&gt;="&amp;Settings!$B$5,Expenses!A:A,"&lt;"&amp;DATE(YEAR(Settings!$B$5)+1,1,1))</f>
        <v/>
      </c>
    </row>
    <row r="17">
      <c r="A17" t="inlineStr">
        <is>
          <t>Transport/Fuel</t>
        </is>
      </c>
      <c r="B17" s="4">
        <f>SUMIFS(Expenses!E:E,Expenses!B:B,A17,Expenses!A:A,"&gt;="&amp;Settings!$B$5,Expenses!A:A,"&lt;"&amp;DATE(YEAR(Settings!$B$5)+1,1,1))</f>
        <v/>
      </c>
    </row>
    <row r="18">
      <c r="A18" t="inlineStr">
        <is>
          <t>Salaries/Wages</t>
        </is>
      </c>
      <c r="B18" s="4">
        <f>SUMIFS(Expenses!E:E,Expenses!B:B,A18,Expenses!A:A,"&gt;="&amp;Settings!$B$5,Expenses!A:A,"&lt;"&amp;DATE(YEAR(Settings!$B$5)+1,1,1))</f>
        <v/>
      </c>
    </row>
    <row r="19">
      <c r="A19" t="inlineStr">
        <is>
          <t>Rent</t>
        </is>
      </c>
      <c r="B19" s="4">
        <f>SUMIFS(Expenses!E:E,Expenses!B:B,A19,Expenses!A:A,"&gt;="&amp;Settings!$B$5,Expenses!A:A,"&lt;"&amp;DATE(YEAR(Settings!$B$5)+1,1,1))</f>
        <v/>
      </c>
    </row>
    <row r="20">
      <c r="A20" t="inlineStr">
        <is>
          <t>Utilities</t>
        </is>
      </c>
      <c r="B20" s="4">
        <f>SUMIFS(Expenses!E:E,Expenses!B:B,A20,Expenses!A:A,"&gt;="&amp;Settings!$B$5,Expenses!A:A,"&lt;"&amp;DATE(YEAR(Settings!$B$5)+1,1,1))</f>
        <v/>
      </c>
    </row>
    <row r="21">
      <c r="A21" t="inlineStr">
        <is>
          <t>Insurance</t>
        </is>
      </c>
      <c r="B21" s="4">
        <f>SUMIFS(Expenses!E:E,Expenses!B:B,A21,Expenses!A:A,"&gt;="&amp;Settings!$B$5,Expenses!A:A,"&lt;"&amp;DATE(YEAR(Settings!$B$5)+1,1,1))</f>
        <v/>
      </c>
    </row>
    <row r="22">
      <c r="A22" t="inlineStr">
        <is>
          <t>Marketing</t>
        </is>
      </c>
      <c r="B22" s="4">
        <f>SUMIFS(Expenses!E:E,Expenses!B:B,A22,Expenses!A:A,"&gt;="&amp;Settings!$B$5,Expenses!A:A,"&lt;"&amp;DATE(YEAR(Settings!$B$5)+1,1,1))</f>
        <v/>
      </c>
    </row>
    <row r="23">
      <c r="A23" t="inlineStr">
        <is>
          <t>Office Supplies</t>
        </is>
      </c>
      <c r="B23" s="4">
        <f>SUMIFS(Expenses!E:E,Expenses!B:B,A23,Expenses!A:A,"&gt;="&amp;Settings!$B$5,Expenses!A:A,"&lt;"&amp;DATE(YEAR(Settings!$B$5)+1,1,1))</f>
        <v/>
      </c>
    </row>
    <row r="24">
      <c r="A24" t="inlineStr">
        <is>
          <t>Professional Fees</t>
        </is>
      </c>
      <c r="B24" s="4">
        <f>SUMIFS(Expenses!E:E,Expenses!B:B,A24,Expenses!A:A,"&gt;="&amp;Settings!$B$5,Expenses!A:A,"&lt;"&amp;DATE(YEAR(Settings!$B$5)+1,1,1))</f>
        <v/>
      </c>
    </row>
    <row r="25">
      <c r="A25" t="inlineStr">
        <is>
          <t>Bank Charges</t>
        </is>
      </c>
      <c r="B25" s="4">
        <f>SUMIFS(Expenses!E:E,Expenses!B:B,A25,Expenses!A:A,"&gt;="&amp;Settings!$B$5,Expenses!A:A,"&lt;"&amp;DATE(YEAR(Settings!$B$5)+1,1,1))</f>
        <v/>
      </c>
    </row>
    <row r="26">
      <c r="A26" t="inlineStr">
        <is>
          <t>Other</t>
        </is>
      </c>
      <c r="B26" s="4">
        <f>SUMIFS(Expenses!E:E,Expenses!B:B,A26,Expenses!A:A,"&gt;="&amp;Settings!$B$5,Expenses!A:A,"&lt;"&amp;DATE(YEAR(Settings!$B$5)+1,1,1))</f>
        <v/>
      </c>
    </row>
    <row r="27">
      <c r="A27" s="8" t="inlineStr">
        <is>
          <t>Total Expenses</t>
        </is>
      </c>
      <c r="B27" s="18">
        <f>SUM(B15:B26)</f>
        <v/>
      </c>
    </row>
    <row r="29">
      <c r="A29" s="14" t="inlineStr">
        <is>
          <t>NET PROFIT BEFORE TAX</t>
        </is>
      </c>
      <c r="B29" s="19">
        <f>B6-B27</f>
        <v/>
      </c>
    </row>
    <row r="30">
      <c r="A30" t="inlineStr">
        <is>
          <t>Profit Margin (%)</t>
        </is>
      </c>
      <c r="B30" s="20">
        <f>IF(B6=0,0,B29/B6)</f>
        <v/>
      </c>
    </row>
  </sheetData>
  <mergeCells count="5">
    <mergeCell ref="A4:B4"/>
    <mergeCell ref="A1:D1"/>
    <mergeCell ref="A14:B14"/>
    <mergeCell ref="A2:D2"/>
    <mergeCell ref="A9:B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3" customWidth="1" min="6" max="6"/>
  </cols>
  <sheetData>
    <row r="1">
      <c r="A1" s="21" t="inlineStr">
        <is>
          <t>BUSINESS HEALTH DASHBOARD</t>
        </is>
      </c>
    </row>
    <row r="2">
      <c r="A2" s="22" t="inlineStr">
        <is>
          <t>Updated: 2025-11-22 13:07</t>
        </is>
      </c>
    </row>
    <row r="4">
      <c r="A4" s="14" t="inlineStr">
        <is>
          <t>KEY FINANCIAL METRICS</t>
        </is>
      </c>
    </row>
    <row r="6">
      <c r="A6" s="8" t="inlineStr">
        <is>
          <t>Monthly Revenue</t>
        </is>
      </c>
      <c r="B6" s="23">
        <f>Revenue!L4</f>
        <v/>
      </c>
      <c r="D6" s="8" t="inlineStr">
        <is>
          <t>Cash in Hand</t>
        </is>
      </c>
      <c r="E6" s="24">
        <f>'Cash Position'!B8</f>
        <v/>
      </c>
    </row>
    <row r="7">
      <c r="A7" s="8" t="inlineStr">
        <is>
          <t>Monthly Expenses</t>
        </is>
      </c>
      <c r="B7" s="23">
        <f>Expenses!J3</f>
        <v/>
      </c>
      <c r="D7" s="8" t="inlineStr">
        <is>
          <t>Cash at Bank</t>
        </is>
      </c>
      <c r="E7" s="24">
        <f>'Cash Position'!B14</f>
        <v/>
      </c>
    </row>
    <row r="8">
      <c r="A8" s="8" t="inlineStr">
        <is>
          <t>Monthly Net Profit</t>
        </is>
      </c>
      <c r="B8" s="23">
        <f>B6-B7</f>
        <v/>
      </c>
      <c r="D8" s="8" t="inlineStr">
        <is>
          <t>Total Cash</t>
        </is>
      </c>
      <c r="E8" s="25">
        <f>E6+E7</f>
        <v/>
      </c>
    </row>
    <row r="9">
      <c r="A9" s="8" t="inlineStr">
        <is>
          <t>Profit Margin</t>
        </is>
      </c>
      <c r="B9" s="26">
        <f>IF(B6=0,0,B8/B6)</f>
        <v/>
      </c>
    </row>
    <row r="10">
      <c r="D10" s="8" t="inlineStr">
        <is>
          <t>Outstanding Invoices</t>
        </is>
      </c>
      <c r="E10" s="27">
        <f>'Trade Debtors'!J3</f>
        <v/>
      </c>
    </row>
    <row r="11">
      <c r="A11" s="8" t="inlineStr">
        <is>
          <t>YTD Revenue</t>
        </is>
      </c>
      <c r="B11" s="23">
        <f>Revenue!L5</f>
        <v/>
      </c>
      <c r="D11" s="8" t="inlineStr">
        <is>
          <t>Total Stock Value</t>
        </is>
      </c>
      <c r="E11" s="28">
        <f>Inventory!H12</f>
        <v/>
      </c>
    </row>
    <row r="12">
      <c r="A12" s="8" t="inlineStr">
        <is>
          <t>YTD Expenses</t>
        </is>
      </c>
      <c r="B12" s="23">
        <f>Expenses!J4</f>
        <v/>
      </c>
    </row>
    <row r="13">
      <c r="A13" s="8" t="inlineStr">
        <is>
          <t>YTD Net Profit</t>
        </is>
      </c>
      <c r="B13" s="23">
        <f>B11-B12</f>
        <v/>
      </c>
    </row>
    <row r="14">
      <c r="A14" s="8" t="inlineStr">
        <is>
          <t>YTD Profit Margin</t>
        </is>
      </c>
      <c r="B14" s="26">
        <f>IF(B11=0,0,B13/B11)</f>
        <v/>
      </c>
    </row>
    <row r="16">
      <c r="A16" s="3" t="inlineStr">
        <is>
          <t>REVENUE VS EXPENSE TREND (Monthly)</t>
        </is>
      </c>
    </row>
    <row r="17">
      <c r="A17" s="5" t="inlineStr">
        <is>
          <t>Month</t>
        </is>
      </c>
      <c r="B17" s="5" t="inlineStr">
        <is>
          <t>Revenue</t>
        </is>
      </c>
      <c r="C17" s="5" t="inlineStr">
        <is>
          <t>Expenses</t>
        </is>
      </c>
      <c r="D17" s="5" t="inlineStr">
        <is>
          <t>Net Profit</t>
        </is>
      </c>
    </row>
    <row r="18">
      <c r="A18" t="inlineStr">
        <is>
          <t>January</t>
        </is>
      </c>
      <c r="B18" s="4">
        <f>SUMIFS(Revenue!H:H,Revenue!A:A,"&gt;="&amp;DATE(YEAR(TODAY()),1,1),Revenue!A:A,"&lt;"&amp;DATE(YEAR(TODAY()),1+1,1))</f>
        <v/>
      </c>
      <c r="C18" s="4">
        <f>SUMIFS(Expenses!E:E,Expenses!A:A,"&gt;="&amp;DATE(YEAR(TODAY()),1,1),Expenses!A:A,"&lt;"&amp;DATE(YEAR(TODAY()),1+1,1))</f>
        <v/>
      </c>
      <c r="D18" s="4">
        <f>B18-C18</f>
        <v/>
      </c>
    </row>
    <row r="19">
      <c r="A19" t="inlineStr">
        <is>
          <t>February</t>
        </is>
      </c>
      <c r="B19" s="4">
        <f>SUMIFS(Revenue!H:H,Revenue!A:A,"&gt;="&amp;DATE(YEAR(TODAY()),2,1),Revenue!A:A,"&lt;"&amp;DATE(YEAR(TODAY()),2+1,1))</f>
        <v/>
      </c>
      <c r="C19" s="4">
        <f>SUMIFS(Expenses!E:E,Expenses!A:A,"&gt;="&amp;DATE(YEAR(TODAY()),2,1),Expenses!A:A,"&lt;"&amp;DATE(YEAR(TODAY()),2+1,1))</f>
        <v/>
      </c>
      <c r="D19" s="4">
        <f>B19-C19</f>
        <v/>
      </c>
    </row>
    <row r="20">
      <c r="A20" t="inlineStr">
        <is>
          <t>March</t>
        </is>
      </c>
      <c r="B20" s="4">
        <f>SUMIFS(Revenue!H:H,Revenue!A:A,"&gt;="&amp;DATE(YEAR(TODAY()),3,1),Revenue!A:A,"&lt;"&amp;DATE(YEAR(TODAY()),3+1,1))</f>
        <v/>
      </c>
      <c r="C20" s="4">
        <f>SUMIFS(Expenses!E:E,Expenses!A:A,"&gt;="&amp;DATE(YEAR(TODAY()),3,1),Expenses!A:A,"&lt;"&amp;DATE(YEAR(TODAY()),3+1,1))</f>
        <v/>
      </c>
      <c r="D20" s="4">
        <f>B20-C20</f>
        <v/>
      </c>
    </row>
    <row r="21">
      <c r="A21" t="inlineStr">
        <is>
          <t>April</t>
        </is>
      </c>
      <c r="B21" s="4">
        <f>SUMIFS(Revenue!H:H,Revenue!A:A,"&gt;="&amp;DATE(YEAR(TODAY()),4,1),Revenue!A:A,"&lt;"&amp;DATE(YEAR(TODAY()),4+1,1))</f>
        <v/>
      </c>
      <c r="C21" s="4">
        <f>SUMIFS(Expenses!E:E,Expenses!A:A,"&gt;="&amp;DATE(YEAR(TODAY()),4,1),Expenses!A:A,"&lt;"&amp;DATE(YEAR(TODAY()),4+1,1))</f>
        <v/>
      </c>
      <c r="D21" s="4">
        <f>B21-C21</f>
        <v/>
      </c>
    </row>
    <row r="22">
      <c r="A22" t="inlineStr">
        <is>
          <t>May</t>
        </is>
      </c>
      <c r="B22" s="4">
        <f>SUMIFS(Revenue!H:H,Revenue!A:A,"&gt;="&amp;DATE(YEAR(TODAY()),5,1),Revenue!A:A,"&lt;"&amp;DATE(YEAR(TODAY()),5+1,1))</f>
        <v/>
      </c>
      <c r="C22" s="4">
        <f>SUMIFS(Expenses!E:E,Expenses!A:A,"&gt;="&amp;DATE(YEAR(TODAY()),5,1),Expenses!A:A,"&lt;"&amp;DATE(YEAR(TODAY()),5+1,1))</f>
        <v/>
      </c>
      <c r="D22" s="4">
        <f>B22-C22</f>
        <v/>
      </c>
    </row>
    <row r="23">
      <c r="A23" t="inlineStr">
        <is>
          <t>June</t>
        </is>
      </c>
      <c r="B23" s="4">
        <f>SUMIFS(Revenue!H:H,Revenue!A:A,"&gt;="&amp;DATE(YEAR(TODAY()),6,1),Revenue!A:A,"&lt;"&amp;DATE(YEAR(TODAY()),6+1,1))</f>
        <v/>
      </c>
      <c r="C23" s="4">
        <f>SUMIFS(Expenses!E:E,Expenses!A:A,"&gt;="&amp;DATE(YEAR(TODAY()),6,1),Expenses!A:A,"&lt;"&amp;DATE(YEAR(TODAY()),6+1,1))</f>
        <v/>
      </c>
      <c r="D23" s="4">
        <f>B23-C23</f>
        <v/>
      </c>
    </row>
    <row r="24">
      <c r="A24" t="inlineStr">
        <is>
          <t>July</t>
        </is>
      </c>
      <c r="B24" s="4">
        <f>SUMIFS(Revenue!H:H,Revenue!A:A,"&gt;="&amp;DATE(YEAR(TODAY()),7,1),Revenue!A:A,"&lt;"&amp;DATE(YEAR(TODAY()),7+1,1))</f>
        <v/>
      </c>
      <c r="C24" s="4">
        <f>SUMIFS(Expenses!E:E,Expenses!A:A,"&gt;="&amp;DATE(YEAR(TODAY()),7,1),Expenses!A:A,"&lt;"&amp;DATE(YEAR(TODAY()),7+1,1))</f>
        <v/>
      </c>
      <c r="D24" s="4">
        <f>B24-C24</f>
        <v/>
      </c>
    </row>
    <row r="25">
      <c r="A25" t="inlineStr">
        <is>
          <t>August</t>
        </is>
      </c>
      <c r="B25" s="4">
        <f>SUMIFS(Revenue!H:H,Revenue!A:A,"&gt;="&amp;DATE(YEAR(TODAY()),8,1),Revenue!A:A,"&lt;"&amp;DATE(YEAR(TODAY()),8+1,1))</f>
        <v/>
      </c>
      <c r="C25" s="4">
        <f>SUMIFS(Expenses!E:E,Expenses!A:A,"&gt;="&amp;DATE(YEAR(TODAY()),8,1),Expenses!A:A,"&lt;"&amp;DATE(YEAR(TODAY()),8+1,1))</f>
        <v/>
      </c>
      <c r="D25" s="4">
        <f>B25-C25</f>
        <v/>
      </c>
    </row>
    <row r="26">
      <c r="A26" t="inlineStr">
        <is>
          <t>September</t>
        </is>
      </c>
      <c r="B26" s="4">
        <f>SUMIFS(Revenue!H:H,Revenue!A:A,"&gt;="&amp;DATE(YEAR(TODAY()),9,1),Revenue!A:A,"&lt;"&amp;DATE(YEAR(TODAY()),9+1,1))</f>
        <v/>
      </c>
      <c r="C26" s="4">
        <f>SUMIFS(Expenses!E:E,Expenses!A:A,"&gt;="&amp;DATE(YEAR(TODAY()),9,1),Expenses!A:A,"&lt;"&amp;DATE(YEAR(TODAY()),9+1,1))</f>
        <v/>
      </c>
      <c r="D26" s="4">
        <f>B26-C26</f>
        <v/>
      </c>
    </row>
    <row r="27">
      <c r="A27" t="inlineStr">
        <is>
          <t>October</t>
        </is>
      </c>
      <c r="B27" s="4">
        <f>SUMIFS(Revenue!H:H,Revenue!A:A,"&gt;="&amp;DATE(YEAR(TODAY()),10,1),Revenue!A:A,"&lt;"&amp;DATE(YEAR(TODAY()),10+1,1))</f>
        <v/>
      </c>
      <c r="C27" s="4">
        <f>SUMIFS(Expenses!E:E,Expenses!A:A,"&gt;="&amp;DATE(YEAR(TODAY()),10,1),Expenses!A:A,"&lt;"&amp;DATE(YEAR(TODAY()),10+1,1))</f>
        <v/>
      </c>
      <c r="D27" s="4">
        <f>B27-C27</f>
        <v/>
      </c>
    </row>
    <row r="28">
      <c r="A28" t="inlineStr">
        <is>
          <t>November</t>
        </is>
      </c>
      <c r="B28" s="4">
        <f>SUMIFS(Revenue!H:H,Revenue!A:A,"&gt;="&amp;DATE(YEAR(TODAY()),11,1),Revenue!A:A,"&lt;"&amp;DATE(YEAR(TODAY()),11+1,1))</f>
        <v/>
      </c>
      <c r="C28" s="4">
        <f>SUMIFS(Expenses!E:E,Expenses!A:A,"&gt;="&amp;DATE(YEAR(TODAY()),11,1),Expenses!A:A,"&lt;"&amp;DATE(YEAR(TODAY()),11+1,1))</f>
        <v/>
      </c>
      <c r="D28" s="4">
        <f>B28-C28</f>
        <v/>
      </c>
    </row>
    <row r="29">
      <c r="A29" t="inlineStr">
        <is>
          <t>December</t>
        </is>
      </c>
      <c r="B29" s="4">
        <f>SUMIFS(Revenue!H:H,Revenue!A:A,"&gt;="&amp;DATE(YEAR(TODAY()),12,1),Revenue!A:A,"&lt;"&amp;DATE(YEAR(TODAY()),12+1,1))</f>
        <v/>
      </c>
      <c r="C29" s="4">
        <f>SUMIFS(Expenses!E:E,Expenses!A:A,"&gt;="&amp;DATE(YEAR(TODAY()),12,1),Expenses!A:A,"&lt;"&amp;DATE(YEAR(TODAY()),12+1,1))</f>
        <v/>
      </c>
      <c r="D29" s="4">
        <f>B29-C29</f>
        <v/>
      </c>
    </row>
  </sheetData>
  <mergeCells count="4">
    <mergeCell ref="A2:F2"/>
    <mergeCell ref="A16:F16"/>
    <mergeCell ref="A1:F1"/>
    <mergeCell ref="A4:F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2025-11-22T12:07:35Z</dcterms:created>
  <dcterms:modified xsi:type="dcterms:W3CDTF">2025-11-22T12:07:35Z</dcterms:modified>
</cp:coreProperties>
</file>